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m AUM (Verified)" sheetId="1" state="visible" r:id="rId3"/>
    <sheet name="Exceptions — Need Confirm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<sst xmlns="http://schemas.openxmlformats.org/spreadsheetml/2006/main" count="120" uniqueCount="115">
  <si>
    <t xml:space="preserve">Carson Wealth — Wholly-Owned Firm AUM (Verified Mapping)</t>
  </si>
  <si>
    <t xml:space="preserve">Source: AUM_Report 2026-06-10 13:47 EST (FA Current Total, Advisory) tied to Active Wholly Owned Offices roster 2026-06-10 13:46 EST</t>
  </si>
  <si>
    <t xml:space="preserve">#</t>
  </si>
  <si>
    <t xml:space="preserve">Firm (roster name)</t>
  </si>
  <si>
    <t xml:space="preserve">Tied to AUM line</t>
  </si>
  <si>
    <t xml:space="preserve">AUM ($)</t>
  </si>
  <si>
    <t xml:space="preserve">AUM ($M)</t>
  </si>
  <si>
    <t xml:space="preserve">CWMG-Great Lakes-CIA</t>
  </si>
  <si>
    <t xml:space="preserve">CWMG Great Lakes</t>
  </si>
  <si>
    <t xml:space="preserve">CWMG-Omaha-CIA</t>
  </si>
  <si>
    <t xml:space="preserve">CWMG Omaha</t>
  </si>
  <si>
    <t xml:space="preserve">CWMG-Cincinnati-CIA</t>
  </si>
  <si>
    <t xml:space="preserve">CWMG Cincinnati</t>
  </si>
  <si>
    <t xml:space="preserve">CWMG-Cedar Rapids-CIA</t>
  </si>
  <si>
    <t xml:space="preserve">CWMG Cedar Rapids</t>
  </si>
  <si>
    <t xml:space="preserve">Sweet Financial Partners, LLC-CIA</t>
  </si>
  <si>
    <t xml:space="preserve">Sweet Financial Partners LLC</t>
  </si>
  <si>
    <t xml:space="preserve">CWMG-West Des Moines-CIA</t>
  </si>
  <si>
    <t xml:space="preserve">CWMG West Des Moines</t>
  </si>
  <si>
    <t xml:space="preserve">CWMG-The Shobe Financial Group-CIA</t>
  </si>
  <si>
    <t xml:space="preserve">CWMG The Shobe Financial Group</t>
  </si>
  <si>
    <t xml:space="preserve">CWMG-Englewood-CIA</t>
  </si>
  <si>
    <t xml:space="preserve">CWMG Englewood</t>
  </si>
  <si>
    <t xml:space="preserve">CWMG-Hagerstown-CIA</t>
  </si>
  <si>
    <t xml:space="preserve">CWMG Hagerstown</t>
  </si>
  <si>
    <t xml:space="preserve">CWMG-Hartford-CIA</t>
  </si>
  <si>
    <t xml:space="preserve">CWMG Hartford</t>
  </si>
  <si>
    <t xml:space="preserve">Wells Trecaso-CIA</t>
  </si>
  <si>
    <t xml:space="preserve">Wells Trecaso</t>
  </si>
  <si>
    <t xml:space="preserve">CWMG-Littleton-CIA</t>
  </si>
  <si>
    <t xml:space="preserve">CWMG Littleton</t>
  </si>
  <si>
    <t xml:space="preserve">CWMG-Franklin Lakes-CIA</t>
  </si>
  <si>
    <t xml:space="preserve">CWMG Franklin Lakes</t>
  </si>
  <si>
    <t xml:space="preserve">Applied Financial Planning Inc-CIA</t>
  </si>
  <si>
    <t xml:space="preserve">Applied Financial Planning Inc</t>
  </si>
  <si>
    <t xml:space="preserve">NWCM-CIA</t>
  </si>
  <si>
    <t xml:space="preserve">NWCM</t>
  </si>
  <si>
    <t xml:space="preserve">CWMG-Kansas City-CIA</t>
  </si>
  <si>
    <t xml:space="preserve">CWMG Kansas City</t>
  </si>
  <si>
    <t xml:space="preserve">CWMG-Quincy-CIA</t>
  </si>
  <si>
    <t xml:space="preserve">CWMG Quincy</t>
  </si>
  <si>
    <t xml:space="preserve">SRQ Wealth-CIA</t>
  </si>
  <si>
    <t xml:space="preserve">SRQ Wealth</t>
  </si>
  <si>
    <t xml:space="preserve">Shilanski &amp; Associates Inc.-CIA</t>
  </si>
  <si>
    <t xml:space="preserve">Shilanski &amp; Associates Inc.</t>
  </si>
  <si>
    <t xml:space="preserve">CWMG-SF-CIA</t>
  </si>
  <si>
    <t xml:space="preserve">CWMG SF</t>
  </si>
  <si>
    <t xml:space="preserve">Boston Retirement Group-CIA</t>
  </si>
  <si>
    <t xml:space="preserve">Boston Retirement Group</t>
  </si>
  <si>
    <t xml:space="preserve">CWMG-Billings-Gabel-CIA</t>
  </si>
  <si>
    <t xml:space="preserve">CWMG Billings Gabel</t>
  </si>
  <si>
    <t xml:space="preserve">CWMG-Doylestown-CIA</t>
  </si>
  <si>
    <t xml:space="preserve">CWMG Doylestown</t>
  </si>
  <si>
    <t xml:space="preserve">CWMG-Pittsburgh-CIA</t>
  </si>
  <si>
    <t xml:space="preserve">CWMG Pittsburgh</t>
  </si>
  <si>
    <t xml:space="preserve">CWMG-Green Bay-CIA</t>
  </si>
  <si>
    <t xml:space="preserve">CWMG Green Bay</t>
  </si>
  <si>
    <t xml:space="preserve">CWMG-Scottsdale-Pine-CIA</t>
  </si>
  <si>
    <t xml:space="preserve">CWMG Scottsdale-Pine</t>
  </si>
  <si>
    <t xml:space="preserve">CWMG-Roseville-CIA</t>
  </si>
  <si>
    <t xml:space="preserve">CWMG Roseville</t>
  </si>
  <si>
    <t xml:space="preserve">CWMG-Marquette-CIA</t>
  </si>
  <si>
    <t xml:space="preserve">CWMG Marquette</t>
  </si>
  <si>
    <t xml:space="preserve">Jacob William Advisory-CIA</t>
  </si>
  <si>
    <t xml:space="preserve">Jacob William Advisory</t>
  </si>
  <si>
    <t xml:space="preserve">CWMG-Columbia-CIA</t>
  </si>
  <si>
    <t xml:space="preserve">CWMG Columbia</t>
  </si>
  <si>
    <t xml:space="preserve">CWMG-Minneapolis-CIA</t>
  </si>
  <si>
    <t xml:space="preserve">CWMG Minneapolis</t>
  </si>
  <si>
    <t xml:space="preserve">CWMG-Milton-CIA</t>
  </si>
  <si>
    <t xml:space="preserve">CWMG Milton</t>
  </si>
  <si>
    <t xml:space="preserve">CWMG-Elkhorn-CIA</t>
  </si>
  <si>
    <t xml:space="preserve">CWMG Elkhorn</t>
  </si>
  <si>
    <t xml:space="preserve">CWMG-Southborough-CIA</t>
  </si>
  <si>
    <t xml:space="preserve">CWMG Southborough</t>
  </si>
  <si>
    <t xml:space="preserve">CWMG-Portland-CIA</t>
  </si>
  <si>
    <t xml:space="preserve">CWMG Portland</t>
  </si>
  <si>
    <t xml:space="preserve">CWMG-Orlando-CIA</t>
  </si>
  <si>
    <t xml:space="preserve">CWMG Orlando</t>
  </si>
  <si>
    <t xml:space="preserve">Jackson Wealth Management-CIA</t>
  </si>
  <si>
    <t xml:space="preserve">Jackson Wealth Management</t>
  </si>
  <si>
    <t xml:space="preserve">CWMG-Fisher Financial Advisors LLC-CIA</t>
  </si>
  <si>
    <t xml:space="preserve">Fisher Financial Advisors LLC</t>
  </si>
  <si>
    <t xml:space="preserve">Furstenau Financial-CIA</t>
  </si>
  <si>
    <t xml:space="preserve">Furstenau Financial</t>
  </si>
  <si>
    <t xml:space="preserve">CWMG-Murray-CIA</t>
  </si>
  <si>
    <t xml:space="preserve">CWMG Murray</t>
  </si>
  <si>
    <t xml:space="preserve">CWMG-Salt Lake City-CIA</t>
  </si>
  <si>
    <t xml:space="preserve">CWMG Salt Lake City</t>
  </si>
  <si>
    <t xml:space="preserve">ZeroCelsius Wealth Studio, Inc.-CIA</t>
  </si>
  <si>
    <t xml:space="preserve">ZeroCelsius Wealth Studio Inc.</t>
  </si>
  <si>
    <t xml:space="preserve">CWMG-Walla Walla-CIA</t>
  </si>
  <si>
    <t xml:space="preserve">CWMG Walla Walla</t>
  </si>
  <si>
    <t xml:space="preserve">CWMG-Vincennes-CIA</t>
  </si>
  <si>
    <t xml:space="preserve">CWMG Vincennes</t>
  </si>
  <si>
    <t xml:space="preserve">Meikle Financial Group-CIA</t>
  </si>
  <si>
    <t xml:space="preserve">Meikle Financial Group</t>
  </si>
  <si>
    <t xml:space="preserve">TOTAL (45 matched firms)</t>
  </si>
  <si>
    <t xml:space="preserve">Exceptions — Not Included in Verified AUM Above</t>
  </si>
  <si>
    <t xml:space="preserve">Firm</t>
  </si>
  <si>
    <t xml:space="preserve">Type</t>
  </si>
  <si>
    <t xml:space="preserve">Reason / Note</t>
  </si>
  <si>
    <t xml:space="preserve">AUM</t>
  </si>
  <si>
    <t xml:space="preserve">CWMG-Johnson City-CIA</t>
  </si>
  <si>
    <t xml:space="preserve">UNMATCHED</t>
  </si>
  <si>
    <t xml:space="preserve">No 'Advisory' line &gt;$0 in AUM Report under any close name (filter excludes 401k; firm may report elsewhere or have $0 advisory). Confirm.</t>
  </si>
  <si>
    <t xml:space="preserve">NEEDS INPUT</t>
  </si>
  <si>
    <t xml:space="preserve">CWMG-Las Vegas-CIA</t>
  </si>
  <si>
    <t xml:space="preserve">Carson Group-CIA</t>
  </si>
  <si>
    <t xml:space="preserve">HOUSE</t>
  </si>
  <si>
    <t xml:space="preserve">Corporate/house account — not an advisor firm; exclude from firm AUM.</t>
  </si>
  <si>
    <t xml:space="preserve">(no AUM line)</t>
  </si>
  <si>
    <t xml:space="preserve">Corporate Accounts-CIA</t>
  </si>
  <si>
    <t xml:space="preserve">$1,028.4M</t>
  </si>
  <si>
    <t xml:space="preserve">Reminder: once confirmed, AUM is firm-spine INPUT data (firms.py) — never a scorer signal.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</si>
</sst>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304A"/>
      <name val="Arial"/>
      <family val="0"/>
      <charset val="1"/>
    </font>
    <font>
      <i val="true"/>
      <sz val="9"/>
      <color rgb="FF6E7B8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D304A"/>
      <name val="Arial"/>
      <family val="0"/>
      <charset val="1"/>
    </font>
    <font>
      <b val="true"/>
      <sz val="13"/>
      <color rgb="FF0D30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304A"/>
        <bgColor rgb="FF333333"/>
      </patternFill>
    </fill>
    <fill>
      <patternFill patternType="solid">
        <fgColor rgb="FFFAF4E2"/>
        <bgColor rgb="FFFFFFFF"/>
      </patternFill>
    </fill>
    <fill>
      <patternFill patternType="solid">
        <fgColor rgb="FFEBD48D"/>
        <bgColor rgb="FFFFE08A"/>
      </patternFill>
    </fill>
    <fill>
      <patternFill patternType="solid">
        <fgColor rgb="FFFFE08A"/>
        <bgColor rgb="FFEBD48D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FAF4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DAE6"/>
      </left>
      <right style="thin">
        <color rgb="FFCADAE6"/>
      </right>
      <top style="thin">
        <color rgb="FFCADAE6"/>
      </top>
      <bottom style="thin">
        <color rgb="FFCADA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82"/>
      <rgbColor rgb="FF9999FF"/>
      <rgbColor rgb="FF993366"/>
      <rgbColor rgb="FFFAF4E2"/>
      <rgbColor rgb="FFE8E8E8"/>
      <rgbColor rgb="FF660066"/>
      <rgbColor rgb="FFFF8080"/>
      <rgbColor rgb="FF0066CC"/>
      <rgbColor rgb="FFCADA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08A"/>
      <rgbColor rgb="FF99CCFF"/>
      <rgbColor rgb="FFFF99CC"/>
      <rgbColor rgb="FFCC99FF"/>
      <rgbColor rgb="FFEBD48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0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4" t="s">
        <v>7</v>
      </c>
      <c r="C5" s="4" t="s">
        <v>8</v>
      </c>
      <c r="D5" s="5" t="n">
        <v>2730525755.05</v>
      </c>
      <c r="E5" s="6" t="n">
        <f aca="false">D5/1000000</f>
        <v>2730.52575505</v>
      </c>
    </row>
    <row r="6" customFormat="false" ht="15" hidden="false" customHeight="false" outlineLevel="0" collapsed="false">
      <c r="A6" s="7" t="n">
        <v>2</v>
      </c>
      <c r="B6" s="7" t="s">
        <v>9</v>
      </c>
      <c r="C6" s="7" t="s">
        <v>10</v>
      </c>
      <c r="D6" s="8" t="n">
        <v>1987168330.07</v>
      </c>
      <c r="E6" s="9" t="n">
        <f aca="false">D6/1000000</f>
        <v>1987.16833007</v>
      </c>
    </row>
    <row r="7" customFormat="false" ht="15" hidden="false" customHeight="false" outlineLevel="0" collapsed="false">
      <c r="A7" s="4" t="n">
        <v>3</v>
      </c>
      <c r="B7" s="4" t="s">
        <v>11</v>
      </c>
      <c r="C7" s="4" t="s">
        <v>12</v>
      </c>
      <c r="D7" s="5" t="n">
        <v>1696746746.13</v>
      </c>
      <c r="E7" s="6" t="n">
        <f aca="false">D7/1000000</f>
        <v>1696.74674613</v>
      </c>
    </row>
    <row r="8" customFormat="false" ht="15" hidden="false" customHeight="false" outlineLevel="0" collapsed="false">
      <c r="A8" s="7" t="n">
        <v>4</v>
      </c>
      <c r="B8" s="7" t="s">
        <v>13</v>
      </c>
      <c r="C8" s="7" t="s">
        <v>14</v>
      </c>
      <c r="D8" s="8" t="n">
        <v>1467137911.2</v>
      </c>
      <c r="E8" s="9" t="n">
        <f aca="false">D8/1000000</f>
        <v>1467.1379112</v>
      </c>
    </row>
    <row r="9" customFormat="false" ht="15" hidden="false" customHeight="false" outlineLevel="0" collapsed="false">
      <c r="A9" s="4" t="n">
        <v>5</v>
      </c>
      <c r="B9" s="4" t="s">
        <v>15</v>
      </c>
      <c r="C9" s="4" t="s">
        <v>16</v>
      </c>
      <c r="D9" s="5" t="n">
        <v>1054575851.04</v>
      </c>
      <c r="E9" s="6" t="n">
        <f aca="false">D9/1000000</f>
        <v>1054.57585104</v>
      </c>
    </row>
    <row r="10" customFormat="false" ht="15" hidden="false" customHeight="false" outlineLevel="0" collapsed="false">
      <c r="A10" s="7" t="n">
        <v>6</v>
      </c>
      <c r="B10" s="7" t="s">
        <v>17</v>
      </c>
      <c r="C10" s="7" t="s">
        <v>18</v>
      </c>
      <c r="D10" s="8" t="n">
        <v>968402376.8</v>
      </c>
      <c r="E10" s="9" t="n">
        <f aca="false">D10/1000000</f>
        <v>968.4023768</v>
      </c>
    </row>
    <row r="11" customFormat="false" ht="15" hidden="false" customHeight="false" outlineLevel="0" collapsed="false">
      <c r="A11" s="4" t="n">
        <v>7</v>
      </c>
      <c r="B11" s="4" t="s">
        <v>19</v>
      </c>
      <c r="C11" s="4" t="s">
        <v>20</v>
      </c>
      <c r="D11" s="5" t="n">
        <v>899939973.32</v>
      </c>
      <c r="E11" s="6" t="n">
        <f aca="false">D11/1000000</f>
        <v>899.93997332</v>
      </c>
    </row>
    <row r="12" customFormat="false" ht="15" hidden="false" customHeight="false" outlineLevel="0" collapsed="false">
      <c r="A12" s="7" t="n">
        <v>8</v>
      </c>
      <c r="B12" s="7" t="s">
        <v>21</v>
      </c>
      <c r="C12" s="7" t="s">
        <v>22</v>
      </c>
      <c r="D12" s="8" t="n">
        <v>863113302.61</v>
      </c>
      <c r="E12" s="9" t="n">
        <f aca="false">D12/1000000</f>
        <v>863.11330261</v>
      </c>
    </row>
    <row r="13" customFormat="false" ht="15" hidden="false" customHeight="false" outlineLevel="0" collapsed="false">
      <c r="A13" s="4" t="n">
        <v>9</v>
      </c>
      <c r="B13" s="4" t="s">
        <v>23</v>
      </c>
      <c r="C13" s="4" t="s">
        <v>24</v>
      </c>
      <c r="D13" s="5" t="n">
        <v>831030877.32</v>
      </c>
      <c r="E13" s="6" t="n">
        <f aca="false">D13/1000000</f>
        <v>831.03087732</v>
      </c>
    </row>
    <row r="14" customFormat="false" ht="15" hidden="false" customHeight="false" outlineLevel="0" collapsed="false">
      <c r="A14" s="7" t="n">
        <v>10</v>
      </c>
      <c r="B14" s="7" t="s">
        <v>25</v>
      </c>
      <c r="C14" s="7" t="s">
        <v>26</v>
      </c>
      <c r="D14" s="8" t="n">
        <v>826854769.93</v>
      </c>
      <c r="E14" s="9" t="n">
        <f aca="false">D14/1000000</f>
        <v>826.85476993</v>
      </c>
    </row>
    <row r="15" customFormat="false" ht="15" hidden="false" customHeight="false" outlineLevel="0" collapsed="false">
      <c r="A15" s="4" t="n">
        <v>11</v>
      </c>
      <c r="B15" s="4" t="s">
        <v>27</v>
      </c>
      <c r="C15" s="4" t="s">
        <v>28</v>
      </c>
      <c r="D15" s="5" t="n">
        <v>735903866</v>
      </c>
      <c r="E15" s="6" t="n">
        <f aca="false">D15/1000000</f>
        <v>735.903866</v>
      </c>
    </row>
    <row r="16" customFormat="false" ht="15" hidden="false" customHeight="false" outlineLevel="0" collapsed="false">
      <c r="A16" s="7" t="n">
        <v>12</v>
      </c>
      <c r="B16" s="7" t="s">
        <v>29</v>
      </c>
      <c r="C16" s="7" t="s">
        <v>30</v>
      </c>
      <c r="D16" s="8" t="n">
        <v>619225657.09</v>
      </c>
      <c r="E16" s="9" t="n">
        <f aca="false">D16/1000000</f>
        <v>619.22565709</v>
      </c>
    </row>
    <row r="17" customFormat="false" ht="15" hidden="false" customHeight="false" outlineLevel="0" collapsed="false">
      <c r="A17" s="4" t="n">
        <v>13</v>
      </c>
      <c r="B17" s="4" t="s">
        <v>31</v>
      </c>
      <c r="C17" s="4" t="s">
        <v>32</v>
      </c>
      <c r="D17" s="5" t="n">
        <v>607872477.04</v>
      </c>
      <c r="E17" s="6" t="n">
        <f aca="false">D17/1000000</f>
        <v>607.87247704</v>
      </c>
    </row>
    <row r="18" customFormat="false" ht="15" hidden="false" customHeight="false" outlineLevel="0" collapsed="false">
      <c r="A18" s="7" t="n">
        <v>14</v>
      </c>
      <c r="B18" s="7" t="s">
        <v>33</v>
      </c>
      <c r="C18" s="7" t="s">
        <v>34</v>
      </c>
      <c r="D18" s="8" t="n">
        <v>602494664.55</v>
      </c>
      <c r="E18" s="9" t="n">
        <f aca="false">D18/1000000</f>
        <v>602.49466455</v>
      </c>
    </row>
    <row r="19" customFormat="false" ht="15" hidden="false" customHeight="false" outlineLevel="0" collapsed="false">
      <c r="A19" s="4" t="n">
        <v>15</v>
      </c>
      <c r="B19" s="4" t="s">
        <v>35</v>
      </c>
      <c r="C19" s="4" t="s">
        <v>36</v>
      </c>
      <c r="D19" s="5" t="n">
        <v>598251052.42</v>
      </c>
      <c r="E19" s="6" t="n">
        <f aca="false">D19/1000000</f>
        <v>598.25105242</v>
      </c>
    </row>
    <row r="20" customFormat="false" ht="15" hidden="false" customHeight="false" outlineLevel="0" collapsed="false">
      <c r="A20" s="7" t="n">
        <v>16</v>
      </c>
      <c r="B20" s="7" t="s">
        <v>37</v>
      </c>
      <c r="C20" s="7" t="s">
        <v>38</v>
      </c>
      <c r="D20" s="8" t="n">
        <v>563595485.35</v>
      </c>
      <c r="E20" s="9" t="n">
        <f aca="false">D20/1000000</f>
        <v>563.59548535</v>
      </c>
    </row>
    <row r="21" customFormat="false" ht="15" hidden="false" customHeight="false" outlineLevel="0" collapsed="false">
      <c r="A21" s="4" t="n">
        <v>17</v>
      </c>
      <c r="B21" s="4" t="s">
        <v>39</v>
      </c>
      <c r="C21" s="4" t="s">
        <v>40</v>
      </c>
      <c r="D21" s="5" t="n">
        <v>546451205.83</v>
      </c>
      <c r="E21" s="6" t="n">
        <f aca="false">D21/1000000</f>
        <v>546.45120583</v>
      </c>
    </row>
    <row r="22" customFormat="false" ht="15" hidden="false" customHeight="false" outlineLevel="0" collapsed="false">
      <c r="A22" s="7" t="n">
        <v>18</v>
      </c>
      <c r="B22" s="7" t="s">
        <v>41</v>
      </c>
      <c r="C22" s="7" t="s">
        <v>42</v>
      </c>
      <c r="D22" s="8" t="n">
        <v>507872973.73</v>
      </c>
      <c r="E22" s="9" t="n">
        <f aca="false">D22/1000000</f>
        <v>507.87297373</v>
      </c>
    </row>
    <row r="23" customFormat="false" ht="15" hidden="false" customHeight="false" outlineLevel="0" collapsed="false">
      <c r="A23" s="4" t="n">
        <v>19</v>
      </c>
      <c r="B23" s="4" t="s">
        <v>43</v>
      </c>
      <c r="C23" s="4" t="s">
        <v>44</v>
      </c>
      <c r="D23" s="5" t="n">
        <v>507472960.66</v>
      </c>
      <c r="E23" s="6" t="n">
        <f aca="false">D23/1000000</f>
        <v>507.47296066</v>
      </c>
    </row>
    <row r="24" customFormat="false" ht="15" hidden="false" customHeight="false" outlineLevel="0" collapsed="false">
      <c r="A24" s="7" t="n">
        <v>20</v>
      </c>
      <c r="B24" s="7" t="s">
        <v>45</v>
      </c>
      <c r="C24" s="7" t="s">
        <v>46</v>
      </c>
      <c r="D24" s="8" t="n">
        <v>490198059.1</v>
      </c>
      <c r="E24" s="9" t="n">
        <f aca="false">D24/1000000</f>
        <v>490.1980591</v>
      </c>
    </row>
    <row r="25" customFormat="false" ht="15" hidden="false" customHeight="false" outlineLevel="0" collapsed="false">
      <c r="A25" s="4" t="n">
        <v>21</v>
      </c>
      <c r="B25" s="4" t="s">
        <v>47</v>
      </c>
      <c r="C25" s="4" t="s">
        <v>48</v>
      </c>
      <c r="D25" s="5" t="n">
        <v>473098806.74</v>
      </c>
      <c r="E25" s="6" t="n">
        <f aca="false">D25/1000000</f>
        <v>473.09880674</v>
      </c>
    </row>
    <row r="26" customFormat="false" ht="15" hidden="false" customHeight="false" outlineLevel="0" collapsed="false">
      <c r="A26" s="7" t="n">
        <v>22</v>
      </c>
      <c r="B26" s="7" t="s">
        <v>49</v>
      </c>
      <c r="C26" s="7" t="s">
        <v>50</v>
      </c>
      <c r="D26" s="8" t="n">
        <v>472049691.96</v>
      </c>
      <c r="E26" s="9" t="n">
        <f aca="false">D26/1000000</f>
        <v>472.04969196</v>
      </c>
    </row>
    <row r="27" customFormat="false" ht="15" hidden="false" customHeight="false" outlineLevel="0" collapsed="false">
      <c r="A27" s="4" t="n">
        <v>23</v>
      </c>
      <c r="B27" s="4" t="s">
        <v>51</v>
      </c>
      <c r="C27" s="4" t="s">
        <v>52</v>
      </c>
      <c r="D27" s="5" t="n">
        <v>464799775.39</v>
      </c>
      <c r="E27" s="6" t="n">
        <f aca="false">D27/1000000</f>
        <v>464.79977539</v>
      </c>
    </row>
    <row r="28" customFormat="false" ht="15" hidden="false" customHeight="false" outlineLevel="0" collapsed="false">
      <c r="A28" s="7" t="n">
        <v>24</v>
      </c>
      <c r="B28" s="7" t="s">
        <v>53</v>
      </c>
      <c r="C28" s="7" t="s">
        <v>54</v>
      </c>
      <c r="D28" s="8" t="n">
        <v>448236239.3</v>
      </c>
      <c r="E28" s="9" t="n">
        <f aca="false">D28/1000000</f>
        <v>448.2362393</v>
      </c>
    </row>
    <row r="29" customFormat="false" ht="15" hidden="false" customHeight="false" outlineLevel="0" collapsed="false">
      <c r="A29" s="4" t="n">
        <v>25</v>
      </c>
      <c r="B29" s="4" t="s">
        <v>55</v>
      </c>
      <c r="C29" s="4" t="s">
        <v>56</v>
      </c>
      <c r="D29" s="5" t="n">
        <v>442976981.72</v>
      </c>
      <c r="E29" s="6" t="n">
        <f aca="false">D29/1000000</f>
        <v>442.97698172</v>
      </c>
    </row>
    <row r="30" customFormat="false" ht="15" hidden="false" customHeight="false" outlineLevel="0" collapsed="false">
      <c r="A30" s="7" t="n">
        <v>26</v>
      </c>
      <c r="B30" s="7" t="s">
        <v>57</v>
      </c>
      <c r="C30" s="7" t="s">
        <v>58</v>
      </c>
      <c r="D30" s="8" t="n">
        <v>437512906.77</v>
      </c>
      <c r="E30" s="9" t="n">
        <f aca="false">D30/1000000</f>
        <v>437.51290677</v>
      </c>
    </row>
    <row r="31" customFormat="false" ht="15" hidden="false" customHeight="false" outlineLevel="0" collapsed="false">
      <c r="A31" s="4" t="n">
        <v>27</v>
      </c>
      <c r="B31" s="4" t="s">
        <v>59</v>
      </c>
      <c r="C31" s="4" t="s">
        <v>60</v>
      </c>
      <c r="D31" s="5" t="n">
        <v>419403373.91</v>
      </c>
      <c r="E31" s="6" t="n">
        <f aca="false">D31/1000000</f>
        <v>419.40337391</v>
      </c>
    </row>
    <row r="32" customFormat="false" ht="15" hidden="false" customHeight="false" outlineLevel="0" collapsed="false">
      <c r="A32" s="7" t="n">
        <v>28</v>
      </c>
      <c r="B32" s="7" t="s">
        <v>61</v>
      </c>
      <c r="C32" s="7" t="s">
        <v>62</v>
      </c>
      <c r="D32" s="8" t="n">
        <v>385459189</v>
      </c>
      <c r="E32" s="9" t="n">
        <f aca="false">D32/1000000</f>
        <v>385.459189</v>
      </c>
    </row>
    <row r="33" customFormat="false" ht="15" hidden="false" customHeight="false" outlineLevel="0" collapsed="false">
      <c r="A33" s="4" t="n">
        <v>29</v>
      </c>
      <c r="B33" s="4" t="s">
        <v>63</v>
      </c>
      <c r="C33" s="4" t="s">
        <v>64</v>
      </c>
      <c r="D33" s="5" t="n">
        <v>376897682.43</v>
      </c>
      <c r="E33" s="6" t="n">
        <f aca="false">D33/1000000</f>
        <v>376.89768243</v>
      </c>
    </row>
    <row r="34" customFormat="false" ht="15" hidden="false" customHeight="false" outlineLevel="0" collapsed="false">
      <c r="A34" s="7" t="n">
        <v>30</v>
      </c>
      <c r="B34" s="7" t="s">
        <v>65</v>
      </c>
      <c r="C34" s="7" t="s">
        <v>66</v>
      </c>
      <c r="D34" s="8" t="n">
        <v>366389339.35</v>
      </c>
      <c r="E34" s="9" t="n">
        <f aca="false">D34/1000000</f>
        <v>366.38933935</v>
      </c>
    </row>
    <row r="35" customFormat="false" ht="15" hidden="false" customHeight="false" outlineLevel="0" collapsed="false">
      <c r="A35" s="4" t="n">
        <v>31</v>
      </c>
      <c r="B35" s="4" t="s">
        <v>67</v>
      </c>
      <c r="C35" s="4" t="s">
        <v>68</v>
      </c>
      <c r="D35" s="5" t="n">
        <v>359762306.57</v>
      </c>
      <c r="E35" s="6" t="n">
        <f aca="false">D35/1000000</f>
        <v>359.76230657</v>
      </c>
    </row>
    <row r="36" customFormat="false" ht="15" hidden="false" customHeight="false" outlineLevel="0" collapsed="false">
      <c r="A36" s="7" t="n">
        <v>32</v>
      </c>
      <c r="B36" s="7" t="s">
        <v>69</v>
      </c>
      <c r="C36" s="7" t="s">
        <v>70</v>
      </c>
      <c r="D36" s="8" t="n">
        <v>318330475.07</v>
      </c>
      <c r="E36" s="9" t="n">
        <f aca="false">D36/1000000</f>
        <v>318.33047507</v>
      </c>
    </row>
    <row r="37" customFormat="false" ht="15" hidden="false" customHeight="false" outlineLevel="0" collapsed="false">
      <c r="A37" s="4" t="n">
        <v>33</v>
      </c>
      <c r="B37" s="4" t="s">
        <v>71</v>
      </c>
      <c r="C37" s="4" t="s">
        <v>72</v>
      </c>
      <c r="D37" s="5" t="n">
        <v>303961215.29</v>
      </c>
      <c r="E37" s="6" t="n">
        <f aca="false">D37/1000000</f>
        <v>303.96121529</v>
      </c>
    </row>
    <row r="38" customFormat="false" ht="15" hidden="false" customHeight="false" outlineLevel="0" collapsed="false">
      <c r="A38" s="7" t="n">
        <v>34</v>
      </c>
      <c r="B38" s="7" t="s">
        <v>73</v>
      </c>
      <c r="C38" s="7" t="s">
        <v>74</v>
      </c>
      <c r="D38" s="8" t="n">
        <v>290939839.54</v>
      </c>
      <c r="E38" s="9" t="n">
        <f aca="false">D38/1000000</f>
        <v>290.93983954</v>
      </c>
    </row>
    <row r="39" customFormat="false" ht="15" hidden="false" customHeight="false" outlineLevel="0" collapsed="false">
      <c r="A39" s="4" t="n">
        <v>35</v>
      </c>
      <c r="B39" s="4" t="s">
        <v>75</v>
      </c>
      <c r="C39" s="4" t="s">
        <v>76</v>
      </c>
      <c r="D39" s="5" t="n">
        <v>283495067.78</v>
      </c>
      <c r="E39" s="6" t="n">
        <f aca="false">D39/1000000</f>
        <v>283.49506778</v>
      </c>
    </row>
    <row r="40" customFormat="false" ht="15" hidden="false" customHeight="false" outlineLevel="0" collapsed="false">
      <c r="A40" s="7" t="n">
        <v>36</v>
      </c>
      <c r="B40" s="7" t="s">
        <v>77</v>
      </c>
      <c r="C40" s="7" t="s">
        <v>78</v>
      </c>
      <c r="D40" s="8" t="n">
        <v>277488639.5</v>
      </c>
      <c r="E40" s="9" t="n">
        <f aca="false">D40/1000000</f>
        <v>277.4886395</v>
      </c>
    </row>
    <row r="41" customFormat="false" ht="15" hidden="false" customHeight="false" outlineLevel="0" collapsed="false">
      <c r="A41" s="4" t="n">
        <v>37</v>
      </c>
      <c r="B41" s="4" t="s">
        <v>79</v>
      </c>
      <c r="C41" s="4" t="s">
        <v>80</v>
      </c>
      <c r="D41" s="5" t="n">
        <v>240313156.71</v>
      </c>
      <c r="E41" s="6" t="n">
        <f aca="false">D41/1000000</f>
        <v>240.31315671</v>
      </c>
    </row>
    <row r="42" customFormat="false" ht="15" hidden="false" customHeight="false" outlineLevel="0" collapsed="false">
      <c r="A42" s="7" t="n">
        <v>38</v>
      </c>
      <c r="B42" s="7" t="s">
        <v>81</v>
      </c>
      <c r="C42" s="7" t="s">
        <v>82</v>
      </c>
      <c r="D42" s="8" t="n">
        <v>216918558.92</v>
      </c>
      <c r="E42" s="9" t="n">
        <f aca="false">D42/1000000</f>
        <v>216.91855892</v>
      </c>
    </row>
    <row r="43" customFormat="false" ht="15" hidden="false" customHeight="false" outlineLevel="0" collapsed="false">
      <c r="A43" s="4" t="n">
        <v>39</v>
      </c>
      <c r="B43" s="4" t="s">
        <v>83</v>
      </c>
      <c r="C43" s="4" t="s">
        <v>84</v>
      </c>
      <c r="D43" s="5" t="n">
        <v>209961803.67</v>
      </c>
      <c r="E43" s="6" t="n">
        <f aca="false">D43/1000000</f>
        <v>209.96180367</v>
      </c>
    </row>
    <row r="44" customFormat="false" ht="15" hidden="false" customHeight="false" outlineLevel="0" collapsed="false">
      <c r="A44" s="7" t="n">
        <v>40</v>
      </c>
      <c r="B44" s="7" t="s">
        <v>85</v>
      </c>
      <c r="C44" s="7" t="s">
        <v>86</v>
      </c>
      <c r="D44" s="8" t="n">
        <v>180134783.69</v>
      </c>
      <c r="E44" s="9" t="n">
        <f aca="false">D44/1000000</f>
        <v>180.13478369</v>
      </c>
    </row>
    <row r="45" customFormat="false" ht="15" hidden="false" customHeight="false" outlineLevel="0" collapsed="false">
      <c r="A45" s="4" t="n">
        <v>41</v>
      </c>
      <c r="B45" s="4" t="s">
        <v>87</v>
      </c>
      <c r="C45" s="4" t="s">
        <v>88</v>
      </c>
      <c r="D45" s="5" t="n">
        <v>170420406.71</v>
      </c>
      <c r="E45" s="6" t="n">
        <f aca="false">D45/1000000</f>
        <v>170.42040671</v>
      </c>
    </row>
    <row r="46" customFormat="false" ht="15" hidden="false" customHeight="false" outlineLevel="0" collapsed="false">
      <c r="A46" s="7" t="n">
        <v>42</v>
      </c>
      <c r="B46" s="7" t="s">
        <v>89</v>
      </c>
      <c r="C46" s="7" t="s">
        <v>90</v>
      </c>
      <c r="D46" s="8" t="n">
        <v>148046379.33</v>
      </c>
      <c r="E46" s="9" t="n">
        <f aca="false">D46/1000000</f>
        <v>148.04637933</v>
      </c>
    </row>
    <row r="47" customFormat="false" ht="15" hidden="false" customHeight="false" outlineLevel="0" collapsed="false">
      <c r="A47" s="4" t="n">
        <v>43</v>
      </c>
      <c r="B47" s="4" t="s">
        <v>91</v>
      </c>
      <c r="C47" s="4" t="s">
        <v>92</v>
      </c>
      <c r="D47" s="5" t="n">
        <v>123735709.43</v>
      </c>
      <c r="E47" s="6" t="n">
        <f aca="false">D47/1000000</f>
        <v>123.73570943</v>
      </c>
    </row>
    <row r="48" customFormat="false" ht="15" hidden="false" customHeight="false" outlineLevel="0" collapsed="false">
      <c r="A48" s="7" t="n">
        <v>44</v>
      </c>
      <c r="B48" s="7" t="s">
        <v>93</v>
      </c>
      <c r="C48" s="7" t="s">
        <v>94</v>
      </c>
      <c r="D48" s="8" t="n">
        <v>101895190.49</v>
      </c>
      <c r="E48" s="9" t="n">
        <f aca="false">D48/1000000</f>
        <v>101.89519049</v>
      </c>
    </row>
    <row r="49" customFormat="false" ht="15" hidden="false" customHeight="false" outlineLevel="0" collapsed="false">
      <c r="A49" s="4" t="n">
        <v>45</v>
      </c>
      <c r="B49" s="4" t="s">
        <v>95</v>
      </c>
      <c r="C49" s="4" t="s">
        <v>96</v>
      </c>
      <c r="D49" s="5" t="n">
        <v>85504482.21</v>
      </c>
      <c r="E49" s="6" t="n">
        <f aca="false">D49/1000000</f>
        <v>85.50448221</v>
      </c>
    </row>
    <row r="50" customFormat="false" ht="15" hidden="false" customHeight="false" outlineLevel="0" collapsed="false">
      <c r="A50" s="10"/>
      <c r="B50" s="11" t="s">
        <v>97</v>
      </c>
      <c r="C50" s="10"/>
      <c r="D50" s="12" t="n">
        <f aca="false">SUM(D5:D49)</f>
        <v>26702566296.72</v>
      </c>
      <c r="E50" s="13" t="n">
        <f aca="false">D50/1000000</f>
        <v>26702.56629672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72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4" t="s">
        <v>98</v>
      </c>
    </row>
    <row r="3" customFormat="false" ht="15" hidden="false" customHeight="false" outlineLevel="0" collapsed="false">
      <c r="A3" s="3" t="s">
        <v>99</v>
      </c>
      <c r="B3" s="3" t="s">
        <v>100</v>
      </c>
      <c r="C3" s="3" t="s">
        <v>101</v>
      </c>
      <c r="D3" s="3" t="s">
        <v>102</v>
      </c>
    </row>
    <row r="4" customFormat="false" ht="15" hidden="false" customHeight="false" outlineLevel="0" collapsed="false">
      <c r="A4" s="4" t="s">
        <v>103</v>
      </c>
      <c r="B4" s="15" t="s">
        <v>104</v>
      </c>
      <c r="C4" s="4" t="s">
        <v>105</v>
      </c>
      <c r="D4" s="16" t="s">
        <v>106</v>
      </c>
    </row>
    <row r="5" customFormat="false" ht="15" hidden="false" customHeight="false" outlineLevel="0" collapsed="false">
      <c r="A5" s="4" t="s">
        <v>107</v>
      </c>
      <c r="B5" s="15" t="s">
        <v>104</v>
      </c>
      <c r="C5" s="4" t="s">
        <v>105</v>
      </c>
      <c r="D5" s="16" t="s">
        <v>106</v>
      </c>
    </row>
    <row r="6" customFormat="false" ht="15" hidden="false" customHeight="false" outlineLevel="0" collapsed="false">
      <c r="A6" s="4" t="s">
        <v>108</v>
      </c>
      <c r="B6" s="17" t="s">
        <v>109</v>
      </c>
      <c r="C6" s="4" t="s">
        <v>110</v>
      </c>
      <c r="D6" s="4" t="s">
        <v>111</v>
      </c>
    </row>
    <row r="7" customFormat="false" ht="15" hidden="false" customHeight="false" outlineLevel="0" collapsed="false">
      <c r="A7" s="4" t="s">
        <v>112</v>
      </c>
      <c r="B7" s="17" t="s">
        <v>109</v>
      </c>
      <c r="C7" s="4" t="s">
        <v>110</v>
      </c>
      <c r="D7" s="4" t="s">
        <v>113</v>
      </c>
    </row>
    <row r="9" customFormat="false" ht="15" hidden="false" customHeight="false" outlineLevel="0" collapsed="false">
      <c r="A9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2026-06-10T18:54:09Z</dcterms:created>
  <dc:creator>openpyxl</dc:creator>
  <dc:description/>
  <dc:language>en-US</dc:language>
  <cp:lastModifiedBy/>
  <dcterms:modified xsi:type="dcterms:W3CDTF">2026-06-10T18:54:09Z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